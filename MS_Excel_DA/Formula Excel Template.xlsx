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8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L3" i="7"/>
  <c r="L4" i="7"/>
  <c r="L5" i="7"/>
  <c r="L6" i="7"/>
  <c r="L7" i="7"/>
  <c r="L8" i="7"/>
  <c r="L9" i="7"/>
  <c r="L10" i="7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M3" i="7"/>
  <c r="M4" i="7"/>
  <c r="M5" i="7"/>
  <c r="M6" i="7"/>
  <c r="M7" i="7"/>
  <c r="M8" i="7"/>
  <c r="M9" i="7"/>
  <c r="M10" i="7"/>
  <c r="M2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L3" i="3"/>
  <c r="L4" i="3"/>
  <c r="L5" i="3"/>
  <c r="L6" i="3"/>
  <c r="L7" i="3"/>
  <c r="L8" i="3"/>
  <c r="L9" i="3"/>
  <c r="L10" i="3"/>
  <c r="L2" i="3"/>
  <c r="J3" i="3"/>
  <c r="J4" i="3"/>
  <c r="J5" i="3"/>
  <c r="J6" i="3"/>
  <c r="J7" i="3"/>
  <c r="J8" i="3"/>
  <c r="J9" i="3"/>
  <c r="J10" i="3"/>
  <c r="J2" i="3"/>
  <c r="N2" i="4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L3" i="9"/>
  <c r="L4" i="9"/>
  <c r="L5" i="9"/>
  <c r="L6" i="9"/>
  <c r="L7" i="9"/>
  <c r="L8" i="9"/>
  <c r="L9" i="9"/>
  <c r="L10" i="9"/>
  <c r="M3" i="9"/>
  <c r="M4" i="9"/>
  <c r="M5" i="9"/>
  <c r="M6" i="9"/>
  <c r="M7" i="9"/>
  <c r="M8" i="9"/>
  <c r="M9" i="9"/>
  <c r="M2" i="9"/>
  <c r="K3" i="9" l="1"/>
  <c r="L2" i="9"/>
  <c r="J3" i="9"/>
  <c r="K2" i="9"/>
  <c r="J2" i="9"/>
  <c r="H11" i="1" l="1"/>
  <c r="H12" i="1"/>
</calcChain>
</file>

<file path=xl/sharedStrings.xml><?xml version="1.0" encoding="utf-8"?>
<sst xmlns="http://schemas.openxmlformats.org/spreadsheetml/2006/main" count="595" uniqueCount="107">
  <si>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</si>
  <si>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</si>
  <si>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</si>
  <si>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</si>
  <si>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</si>
  <si>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</si>
  <si>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</si>
  <si>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</si>
  <si>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</si>
  <si>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</si>
  <si>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</si>
  <si>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</si>
  <si>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</si>
  <si>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</si>
  <si>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</si>
  <si>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</si>
  <si>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</si>
  <si>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</si>
  <si>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</si>
  <si>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</si>
  <si>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</si>
  <si>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</si>
  <si>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</si>
  <si>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</si>
  <si>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</si>
  <si>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</si>
  <si>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</si>
  <si>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</si>
  <si>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</si>
  <si>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</si>
  <si>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</si>
  <si>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</si>
  <si>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</si>
  <si>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</si>
  <si>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</si>
  <si>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</si>
  <si>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</si>
  <si>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</si>
  <si>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</si>
  <si>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</si>
  <si>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</si>
  <si>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</si>
  <si>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</si>
  <si>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</si>
  <si>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</si>
  <si>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</si>
  <si>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</si>
  <si>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</si>
  <si>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</si>
  <si>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</si>
  <si>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</si>
  <si>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</si>
  <si>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</si>
  <si>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</si>
  <si>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</si>
  <si>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</si>
  <si>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</si>
  <si>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</si>
  <si>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</si>
  <si>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</si>
  <si>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</si>
  <si>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</si>
  <si>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</si>
  <si>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</si>
  <si>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</si>
  <si>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</si>
  <si>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</si>
  <si>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</si>
  <si>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</si>
  <si>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</si>
  <si>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</si>
  <si>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</si>
  <si>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</si>
  <si>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</si>
  <si>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</si>
  <si>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</si>
  <si>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</si>
  <si>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</si>
  <si>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</si>
  <si>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</si>
  <si>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</si>
  <si>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</si>
  <si>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</si>
  <si>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</si>
  <si>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</si>
  <si>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</si>
  <si>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</si>
  <si>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</si>
  <si>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=RIGHT(J2,4)</t>
  </si>
  <si>
    <t>=RIGHT(H2,4)</t>
  </si>
  <si>
    <t>gmail</t>
  </si>
  <si>
    <t>11/2/2002</t>
  </si>
  <si>
    <t>11/2/2003</t>
  </si>
  <si>
    <t>11/2/2004</t>
  </si>
  <si>
    <t>11/2/2005</t>
  </si>
  <si>
    <t>11/2/2006</t>
  </si>
  <si>
    <t>11/2/2007</t>
  </si>
  <si>
    <t>11/2/2008</t>
  </si>
  <si>
    <t>11/2/2009</t>
  </si>
  <si>
    <t>9/6/2016</t>
  </si>
  <si>
    <t>9/6/2017</t>
  </si>
  <si>
    <t>9/6/2018</t>
  </si>
  <si>
    <t>9/6/2019</t>
  </si>
  <si>
    <t>9/6/2020</t>
  </si>
  <si>
    <t>9/6/2021</t>
  </si>
  <si>
    <t>9/6/2022</t>
  </si>
  <si>
    <t>9/6/2023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</si>
</sst>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2"/>
  <sheetViews>
    <sheetView topLeftCell="B1" workbookViewId="0">
      <selection activeCell="K8" sqref="K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42164</v>
      </c>
      <c r="J2" s="1">
        <f>MAX(H2:H10)</f>
        <v>37933</v>
      </c>
      <c r="K2" s="1">
        <f>MIN(H2:H10)</f>
        <v>35040</v>
      </c>
      <c r="L2" t="str">
        <f>IF(D2:D10&gt;30,"Old","Young")</f>
        <v>Young</v>
      </c>
      <c r="M2" t="str">
        <f>IF(F2:F10="Salesman","Sales",IF(F2:F10="Receptionist","Hi",IF(F2:F10="Regional Manager","Give Christmas bonus")))</f>
        <v>Sales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  <c r="L3" t="str">
        <f t="shared" ref="L3:L10" si="0">IF(D3:D11&gt;30,"Old","Young")</f>
        <v>Young</v>
      </c>
      <c r="M3" t="str">
        <f t="shared" ref="M3:M9" si="1">IF(F3:F11="Salesman","Sales",IF(F3:F11="Receptionist","Hi",IF(F3:F11="Regional Manager","Give Christmas bonus")))</f>
        <v>Hi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2"/>
      <c r="L4" t="str">
        <f t="shared" si="0"/>
        <v>Young</v>
      </c>
      <c r="M4" t="str">
        <f t="shared" si="1"/>
        <v>Sales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2"/>
      <c r="L5" t="str">
        <f t="shared" si="0"/>
        <v>Old</v>
      </c>
      <c r="M5" t="b">
        <f t="shared" si="1"/>
        <v>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2"/>
      <c r="L6" t="str">
        <f t="shared" si="0"/>
        <v>Old</v>
      </c>
      <c r="M6" t="b">
        <f t="shared" si="1"/>
        <v>0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2"/>
      <c r="L7" t="str">
        <f t="shared" si="0"/>
        <v>Old</v>
      </c>
      <c r="M7" t="str">
        <f t="shared" si="1"/>
        <v>Give Christmas bonus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2"/>
      <c r="L8" t="str">
        <f t="shared" si="0"/>
        <v>Old</v>
      </c>
      <c r="M8" t="b">
        <f t="shared" si="1"/>
        <v>0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2"/>
      <c r="L9" t="str">
        <f t="shared" si="0"/>
        <v>Old</v>
      </c>
      <c r="M9" t="str">
        <f t="shared" si="1"/>
        <v>Sales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L10" t="str">
        <f t="shared" si="0"/>
        <v>Old</v>
      </c>
    </row>
    <row r="11" spans="1:13" x14ac:dyDescent="0.3">
      <c r="K11" s="4"/>
    </row>
    <row r="12" spans="1:13" x14ac:dyDescent="0.3">
      <c r="L1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F19" sqref="F19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topLeftCell="B1" workbookViewId="0">
      <selection activeCell="K6" sqref="K6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10"/>
  <sheetViews>
    <sheetView topLeftCell="B1" workbookViewId="0">
      <selection activeCell="I4" sqref="I4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4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4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LEFT(B2,3)</f>
        <v>Jim</v>
      </c>
      <c r="L2" t="str">
        <f>RIGHT(C2,3)</f>
        <v>ert</v>
      </c>
      <c r="M2" t="str">
        <f>RIGHT(H2,4)</f>
        <v>2001</v>
      </c>
      <c r="N2" t="str">
        <f>LEFT(H2,2)</f>
        <v>11</v>
      </c>
    </row>
    <row r="3" spans="1:14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LEFT(B3,3)</f>
        <v>Pam</v>
      </c>
      <c r="L3" t="str">
        <f t="shared" ref="L3:L10" si="1">RIGHT(C3,3)</f>
        <v>ley</v>
      </c>
      <c r="M3" t="str">
        <f t="shared" ref="M3:M10" si="2">RIGHT(H3,4)</f>
        <v>1999</v>
      </c>
    </row>
    <row r="4" spans="1:14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ute</v>
      </c>
      <c r="M4" t="str">
        <f t="shared" si="2"/>
        <v>2000</v>
      </c>
    </row>
    <row r="5" spans="1:14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tin</v>
      </c>
      <c r="M5" t="str">
        <f t="shared" si="2"/>
        <v>2000</v>
      </c>
    </row>
    <row r="6" spans="1:14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son</v>
      </c>
      <c r="M6" t="str">
        <f t="shared" si="2"/>
        <v>2001</v>
      </c>
    </row>
    <row r="7" spans="1:14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ott</v>
      </c>
      <c r="M7" t="str">
        <f t="shared" si="2"/>
        <v>2001</v>
      </c>
    </row>
    <row r="8" spans="1:14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mer</v>
      </c>
      <c r="M8" t="str">
        <f t="shared" si="2"/>
        <v>2003</v>
      </c>
    </row>
    <row r="9" spans="1:14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son</v>
      </c>
      <c r="M9" t="str">
        <f t="shared" si="2"/>
        <v>2002</v>
      </c>
    </row>
    <row r="10" spans="1:14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one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4"/>
  <sheetViews>
    <sheetView workbookViewId="0">
      <selection activeCell="M7" sqref="M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9" max="9" width="16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TEXT(H2,"dd/mm/yyyy")</f>
        <v>02/11/2001</v>
      </c>
      <c r="K2" s="3" t="s">
        <v>89</v>
      </c>
      <c r="L2" t="str">
        <f>RIGHT(J2,4)</f>
        <v>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37198</v>
      </c>
      <c r="I3" s="1">
        <v>42254</v>
      </c>
      <c r="J3" t="str">
        <f t="shared" ref="J3:J10" si="0">TEXT(H3,"dd/mm/yyyy")</f>
        <v>03/11/2001</v>
      </c>
      <c r="K3" s="3" t="s">
        <v>89</v>
      </c>
      <c r="L3" t="str">
        <f t="shared" ref="L3:L10" si="1">RIGHT(J3,4)</f>
        <v>2001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37199</v>
      </c>
      <c r="I4" s="1">
        <v>42255</v>
      </c>
      <c r="J4" t="str">
        <f t="shared" si="0"/>
        <v>04/11/2001</v>
      </c>
      <c r="K4" s="3" t="s">
        <v>88</v>
      </c>
      <c r="L4" t="str">
        <f t="shared" si="1"/>
        <v>2001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37200</v>
      </c>
      <c r="I5" s="1">
        <v>42256</v>
      </c>
      <c r="J5" t="str">
        <f t="shared" si="0"/>
        <v>05/11/2001</v>
      </c>
      <c r="K5" s="3" t="s">
        <v>88</v>
      </c>
      <c r="L5" t="str">
        <f t="shared" si="1"/>
        <v>2001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37201</v>
      </c>
      <c r="I6" s="1">
        <v>42257</v>
      </c>
      <c r="J6" t="str">
        <f t="shared" si="0"/>
        <v>06/11/2001</v>
      </c>
      <c r="K6" s="3" t="s">
        <v>88</v>
      </c>
      <c r="L6" t="str">
        <f t="shared" si="1"/>
        <v>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37202</v>
      </c>
      <c r="I7" s="1">
        <v>42258</v>
      </c>
      <c r="J7" t="str">
        <f t="shared" si="0"/>
        <v>07/11/2001</v>
      </c>
      <c r="K7" s="3" t="s">
        <v>88</v>
      </c>
      <c r="L7" t="str">
        <f t="shared" si="1"/>
        <v>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37203</v>
      </c>
      <c r="I8" s="1">
        <v>42259</v>
      </c>
      <c r="J8" t="str">
        <f t="shared" si="0"/>
        <v>08/11/2001</v>
      </c>
      <c r="K8" s="3" t="s">
        <v>88</v>
      </c>
      <c r="L8" t="str">
        <f t="shared" si="1"/>
        <v>2001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37204</v>
      </c>
      <c r="I9" s="1">
        <v>42260</v>
      </c>
      <c r="J9" t="str">
        <f t="shared" si="0"/>
        <v>09/11/2001</v>
      </c>
      <c r="K9" s="3" t="s">
        <v>88</v>
      </c>
      <c r="L9" t="str">
        <f t="shared" si="1"/>
        <v>2001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37205</v>
      </c>
      <c r="I10" s="1">
        <v>42261</v>
      </c>
      <c r="J10" t="str">
        <f t="shared" si="0"/>
        <v>10/11/2001</v>
      </c>
      <c r="K10" s="3" t="s">
        <v>88</v>
      </c>
      <c r="L10" t="str">
        <f t="shared" si="1"/>
        <v>2001</v>
      </c>
    </row>
    <row r="12" spans="1:12" x14ac:dyDescent="0.3">
      <c r="H12" s="1"/>
    </row>
    <row r="13" spans="1:12" x14ac:dyDescent="0.3">
      <c r="H13" s="3"/>
      <c r="I13" s="1"/>
    </row>
    <row r="14" spans="1:12" x14ac:dyDescent="0.3">
      <c r="I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8" sqref="K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20"/>
  <sheetViews>
    <sheetView workbookViewId="0">
      <selection activeCell="G11" sqref="G11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SUBSTITUTE(H2,"/","-",1)</f>
        <v>11-2/2001</v>
      </c>
      <c r="K2" t="str">
        <f>SUBSTITUTE(H2,"/","-",2)</f>
        <v>11/2-2001</v>
      </c>
      <c r="L2" t="str">
        <f>SUBSTITUTE(H2,"-","/")</f>
        <v>11/2/2001</v>
      </c>
      <c r="M2" t="str">
        <f>SUBSTITUTE(H2,"/","-")</f>
        <v>11-2-2001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91</v>
      </c>
      <c r="I3" s="3" t="s">
        <v>57</v>
      </c>
      <c r="J3" t="str">
        <f t="shared" ref="J3:J10" si="0">SUBSTITUTE(H3,"/","-",1)</f>
        <v>11-2/2002</v>
      </c>
      <c r="K3" t="str">
        <f t="shared" ref="K3:K10" si="1">SUBSTITUTE(H3,"/","-",2)</f>
        <v>11/2-2002</v>
      </c>
      <c r="L3" t="str">
        <f t="shared" ref="L3:L10" si="2">SUBSTITUTE(H3,"-","/")</f>
        <v>11/2/2002</v>
      </c>
      <c r="M3" t="str">
        <f t="shared" ref="M3:M10" si="3">SUBSTITUTE(H3,"/","-")</f>
        <v>11-2-2002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92</v>
      </c>
      <c r="I4" s="3" t="s">
        <v>58</v>
      </c>
      <c r="J4" t="str">
        <f t="shared" si="0"/>
        <v>11-2/2003</v>
      </c>
      <c r="K4" t="str">
        <f t="shared" si="1"/>
        <v>11/2-2003</v>
      </c>
      <c r="L4" t="str">
        <f t="shared" si="2"/>
        <v>11/2/2003</v>
      </c>
      <c r="M4" t="str">
        <f t="shared" si="3"/>
        <v>11-2-2003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93</v>
      </c>
      <c r="I5" s="3" t="s">
        <v>59</v>
      </c>
      <c r="J5" t="str">
        <f t="shared" si="0"/>
        <v>11-2/2004</v>
      </c>
      <c r="K5" t="str">
        <f t="shared" si="1"/>
        <v>11/2-2004</v>
      </c>
      <c r="L5" t="str">
        <f t="shared" si="2"/>
        <v>11/2/2004</v>
      </c>
      <c r="M5" t="str">
        <f t="shared" si="3"/>
        <v>11-2-2004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94</v>
      </c>
      <c r="I6" s="3" t="s">
        <v>60</v>
      </c>
      <c r="J6" t="str">
        <f t="shared" si="0"/>
        <v>11-2/2005</v>
      </c>
      <c r="K6" t="str">
        <f t="shared" si="1"/>
        <v>11/2-2005</v>
      </c>
      <c r="L6" t="str">
        <f t="shared" si="2"/>
        <v>11/2/2005</v>
      </c>
      <c r="M6" t="str">
        <f t="shared" si="3"/>
        <v>11-2-2005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95</v>
      </c>
      <c r="I7" s="3" t="s">
        <v>61</v>
      </c>
      <c r="J7" t="str">
        <f t="shared" si="0"/>
        <v>11-2/2006</v>
      </c>
      <c r="K7" t="str">
        <f t="shared" si="1"/>
        <v>11/2-2006</v>
      </c>
      <c r="L7" t="str">
        <f t="shared" si="2"/>
        <v>11/2/2006</v>
      </c>
      <c r="M7" t="str">
        <f t="shared" si="3"/>
        <v>11-2-2006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96</v>
      </c>
      <c r="I8" s="3" t="s">
        <v>61</v>
      </c>
      <c r="J8" t="str">
        <f t="shared" si="0"/>
        <v>11-2/2007</v>
      </c>
      <c r="K8" t="str">
        <f t="shared" si="1"/>
        <v>11/2-2007</v>
      </c>
      <c r="L8" t="str">
        <f t="shared" si="2"/>
        <v>11/2/2007</v>
      </c>
      <c r="M8" t="str">
        <f t="shared" si="3"/>
        <v>11-2-2007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97</v>
      </c>
      <c r="I9" s="3" t="s">
        <v>62</v>
      </c>
      <c r="J9" t="str">
        <f t="shared" si="0"/>
        <v>11-2/2008</v>
      </c>
      <c r="K9" t="str">
        <f t="shared" si="1"/>
        <v>11/2-2008</v>
      </c>
      <c r="L9" t="str">
        <f t="shared" si="2"/>
        <v>11/2/2008</v>
      </c>
      <c r="M9" t="str">
        <f t="shared" si="3"/>
        <v>11-2-2008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98</v>
      </c>
      <c r="I10" s="3" t="s">
        <v>62</v>
      </c>
      <c r="J10" t="str">
        <f t="shared" si="0"/>
        <v>11-2/2009</v>
      </c>
      <c r="K10" t="str">
        <f t="shared" si="1"/>
        <v>11/2-2009</v>
      </c>
      <c r="L10" t="str">
        <f t="shared" si="2"/>
        <v>11/2/2009</v>
      </c>
      <c r="M10" t="str">
        <f t="shared" si="3"/>
        <v>11-2-2009</v>
      </c>
    </row>
    <row r="12" spans="1:13" x14ac:dyDescent="0.3">
      <c r="H12" s="3"/>
      <c r="I12" s="3"/>
    </row>
    <row r="13" spans="1:13" x14ac:dyDescent="0.3">
      <c r="H13" s="3"/>
      <c r="I13" s="3"/>
    </row>
    <row r="14" spans="1:13" x14ac:dyDescent="0.3">
      <c r="H14" s="3"/>
      <c r="I14" s="3"/>
    </row>
    <row r="15" spans="1:13" x14ac:dyDescent="0.3">
      <c r="H15" s="3"/>
      <c r="I15" s="3"/>
    </row>
    <row r="16" spans="1:13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2" sqref="L2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SUMIF(G2:G10,"&gt;40000")</f>
        <v>401000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tabSelected="1" workbookViewId="0">
      <selection activeCell="A7" sqref="A7:I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2"/>
  <sheetViews>
    <sheetView workbookViewId="0">
      <selection activeCell="M2" sqref="M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5.441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  <c r="K1" t="s">
        <v>90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8" sqref="K8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DAYS360(I2,H2)</f>
        <v>-5158</v>
      </c>
      <c r="K2">
        <f>NETWORKDAYS(H2,I2,)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91</v>
      </c>
      <c r="I3" s="3" t="s">
        <v>99</v>
      </c>
      <c r="J3">
        <f t="shared" ref="J3:J10" si="0">DAYS360(I3,H3)</f>
        <v>-5158</v>
      </c>
      <c r="K3">
        <f t="shared" ref="K3:K10" si="1">NETWORKDAYS(H3,I3,)</f>
        <v>3739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92</v>
      </c>
      <c r="I4" s="3" t="s">
        <v>100</v>
      </c>
      <c r="J4">
        <f t="shared" si="0"/>
        <v>-5158</v>
      </c>
      <c r="K4">
        <f t="shared" si="1"/>
        <v>3739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93</v>
      </c>
      <c r="I5" s="3" t="s">
        <v>101</v>
      </c>
      <c r="J5">
        <f t="shared" si="0"/>
        <v>-5158</v>
      </c>
      <c r="K5">
        <f t="shared" si="1"/>
        <v>3738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94</v>
      </c>
      <c r="I6" s="3" t="s">
        <v>102</v>
      </c>
      <c r="J6">
        <f t="shared" si="0"/>
        <v>-5158</v>
      </c>
      <c r="K6">
        <f t="shared" si="1"/>
        <v>3736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95</v>
      </c>
      <c r="I7" s="3" t="s">
        <v>103</v>
      </c>
      <c r="J7">
        <f t="shared" si="0"/>
        <v>-5158</v>
      </c>
      <c r="K7">
        <f t="shared" si="1"/>
        <v>3737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96</v>
      </c>
      <c r="I8" s="3" t="s">
        <v>104</v>
      </c>
      <c r="J8">
        <f t="shared" si="0"/>
        <v>-5158</v>
      </c>
      <c r="K8">
        <f t="shared" si="1"/>
        <v>3738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97</v>
      </c>
      <c r="I9" s="3" t="s">
        <v>105</v>
      </c>
      <c r="J9">
        <f t="shared" si="0"/>
        <v>-5158</v>
      </c>
      <c r="K9">
        <f t="shared" si="1"/>
        <v>3739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98</v>
      </c>
      <c r="I10" s="3" t="s">
        <v>106</v>
      </c>
      <c r="J10">
        <f t="shared" si="0"/>
        <v>-5158</v>
      </c>
      <c r="K10">
        <f t="shared" si="1"/>
        <v>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HP</cp:lastModifiedBy>
  <dcterms:created xsi:type="dcterms:W3CDTF">2021-12-16T14:18:34Z</dcterms:created>
  <dcterms:modified xsi:type="dcterms:W3CDTF">2026-06-03T07:12:31Z</dcterms:modified>
</cp:coreProperties>
</file>